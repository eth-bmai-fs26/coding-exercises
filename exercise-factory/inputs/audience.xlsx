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cotrini/Downloads/"/>
    </mc:Choice>
  </mc:AlternateContent>
  <xr:revisionPtr revIDLastSave="0" documentId="13_ncr:1_{3AE89781-060D-E440-9CD1-1E42B46B1617}" xr6:coauthVersionLast="47" xr6:coauthVersionMax="47" xr10:uidLastSave="{00000000-0000-0000-0000-000000000000}"/>
  <bookViews>
    <workbookView xWindow="0" yWindow="0" windowWidth="51200" windowHeight="28800" xr2:uid="{090B300F-461B-46F7-9CE9-497D4C96E724}"/>
  </bookViews>
  <sheets>
    <sheet name="2026 Spr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4" l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27" i="4"/>
  <c r="A26" i="4" l="1"/>
  <c r="B44" i="4" l="1"/>
  <c r="B43" i="4"/>
  <c r="I45" i="4"/>
  <c r="B45" i="4" l="1"/>
  <c r="B46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</calcChain>
</file>

<file path=xl/sharedStrings.xml><?xml version="1.0" encoding="utf-8"?>
<sst xmlns="http://schemas.openxmlformats.org/spreadsheetml/2006/main" count="365" uniqueCount="208">
  <si>
    <t>Title</t>
  </si>
  <si>
    <t>First Name</t>
  </si>
  <si>
    <t>Last Name</t>
  </si>
  <si>
    <t>Employer</t>
  </si>
  <si>
    <t>Industry</t>
  </si>
  <si>
    <t>Education</t>
  </si>
  <si>
    <t>School</t>
  </si>
  <si>
    <t>Years Experience</t>
  </si>
  <si>
    <t>Mgmt Level</t>
  </si>
  <si>
    <t>Ms.</t>
  </si>
  <si>
    <t>Finance</t>
  </si>
  <si>
    <t>Mr.</t>
  </si>
  <si>
    <t>Energy</t>
  </si>
  <si>
    <t>Business Administration</t>
  </si>
  <si>
    <t>MA</t>
  </si>
  <si>
    <t>Consultant</t>
  </si>
  <si>
    <t>ETH</t>
  </si>
  <si>
    <t>Lower</t>
  </si>
  <si>
    <t>Professional</t>
  </si>
  <si>
    <t>Middle</t>
  </si>
  <si>
    <t>Senior</t>
  </si>
  <si>
    <t>CAS AIS</t>
  </si>
  <si>
    <t>Stefano</t>
  </si>
  <si>
    <t>CEO</t>
  </si>
  <si>
    <t>BS, MS</t>
  </si>
  <si>
    <t>Swiss Re</t>
  </si>
  <si>
    <t>Degrees</t>
  </si>
  <si>
    <t>BS, MS, MS</t>
  </si>
  <si>
    <t>Technology</t>
  </si>
  <si>
    <t>MS</t>
  </si>
  <si>
    <t>MD</t>
  </si>
  <si>
    <t>Pharma</t>
  </si>
  <si>
    <t>BA, MBA</t>
  </si>
  <si>
    <t>BA</t>
  </si>
  <si>
    <t>Telecommunications Engineering</t>
  </si>
  <si>
    <t>Media</t>
  </si>
  <si>
    <t>Management</t>
  </si>
  <si>
    <t>UBS</t>
  </si>
  <si>
    <t>BA, MS</t>
  </si>
  <si>
    <t>BS, MA</t>
  </si>
  <si>
    <t>Female</t>
  </si>
  <si>
    <t>male</t>
  </si>
  <si>
    <t>Average years</t>
  </si>
  <si>
    <t>BS</t>
  </si>
  <si>
    <t>Accenture AG</t>
  </si>
  <si>
    <t>HSG</t>
  </si>
  <si>
    <t>Industrial</t>
  </si>
  <si>
    <t>Deloitte</t>
  </si>
  <si>
    <t>CAS DML</t>
  </si>
  <si>
    <t>Health</t>
  </si>
  <si>
    <t>Carolina</t>
  </si>
  <si>
    <t>Product Owner</t>
  </si>
  <si>
    <t>ETH, ETH</t>
  </si>
  <si>
    <t>Business Services</t>
  </si>
  <si>
    <t>Innovation Manager</t>
  </si>
  <si>
    <t>Concordia</t>
  </si>
  <si>
    <t>Roche</t>
  </si>
  <si>
    <t>Novartis</t>
  </si>
  <si>
    <t>Consulting</t>
  </si>
  <si>
    <t>Paul</t>
  </si>
  <si>
    <t>Cherbin</t>
  </si>
  <si>
    <t>Sr. Customer Experience Program Manager Teams</t>
  </si>
  <si>
    <t>Microsoft Switzerland GmbH</t>
  </si>
  <si>
    <t>Project Manager - CEO Office</t>
  </si>
  <si>
    <t>Raiffeisen Schweiz</t>
  </si>
  <si>
    <t>Senior Sales Engineer - Conversational AI</t>
  </si>
  <si>
    <t>Enterprise Bot</t>
  </si>
  <si>
    <t>Julius Baer</t>
  </si>
  <si>
    <t>Business Development Manager, Cross-Generational &amp; Global Key Client Solutions Management</t>
  </si>
  <si>
    <t>AI Governance Specialist</t>
  </si>
  <si>
    <t>Gregor Martin</t>
  </si>
  <si>
    <t>Battilana</t>
  </si>
  <si>
    <t>LST</t>
  </si>
  <si>
    <t>COO &amp; CFO</t>
  </si>
  <si>
    <t>Rockon Digital Evolution</t>
  </si>
  <si>
    <t>Physics</t>
  </si>
  <si>
    <t>Global Head Scientific Data and Products (SDP)</t>
  </si>
  <si>
    <t xml:space="preserve">COO  </t>
  </si>
  <si>
    <t>Dentsu DACH</t>
  </si>
  <si>
    <t>Bain &amp; Company</t>
  </si>
  <si>
    <t>Director Drones</t>
  </si>
  <si>
    <t>RUAG</t>
  </si>
  <si>
    <t>Defense</t>
  </si>
  <si>
    <t>Industry Standards and Connected Data Manager</t>
  </si>
  <si>
    <t>Nestlé</t>
  </si>
  <si>
    <t>Senior Business Analyst/IT Project Manager</t>
  </si>
  <si>
    <t>Head Strategy &amp; Operations Corporate Center</t>
  </si>
  <si>
    <t>Ringier AG</t>
  </si>
  <si>
    <t>Head of Business &amp; AI Transformation</t>
  </si>
  <si>
    <t>Aroob</t>
  </si>
  <si>
    <t>Alshammari</t>
  </si>
  <si>
    <t>MAS AID</t>
  </si>
  <si>
    <t>GCC Country Manager</t>
  </si>
  <si>
    <t>adam.ai</t>
  </si>
  <si>
    <t>Business services</t>
  </si>
  <si>
    <t xml:space="preserve">English </t>
  </si>
  <si>
    <t>Jubail University College</t>
  </si>
  <si>
    <t>Atella</t>
  </si>
  <si>
    <t>IC Production and Test Engineer</t>
  </si>
  <si>
    <t>u-blox</t>
  </si>
  <si>
    <t>Engineering Physics</t>
  </si>
  <si>
    <t>Politecnico di Milano</t>
  </si>
  <si>
    <t>Ioana Daniela</t>
  </si>
  <si>
    <t>Bors</t>
  </si>
  <si>
    <t>BA, BS, MS, EMBA</t>
  </si>
  <si>
    <t>Communications, Business Informatics, Information Systems, MBA</t>
  </si>
  <si>
    <t>Babes-Bolyai Uni (BBU), BBU, Uni Zurich, Quantic</t>
  </si>
  <si>
    <t>Canenbley</t>
  </si>
  <si>
    <t>Psychiatrist</t>
  </si>
  <si>
    <t>freelance</t>
  </si>
  <si>
    <t>Psychiatry</t>
  </si>
  <si>
    <t>Ludwig-Maximilian-University Muenchen</t>
  </si>
  <si>
    <t>Dea</t>
  </si>
  <si>
    <t>Cekada</t>
  </si>
  <si>
    <t>University of Rijeka</t>
  </si>
  <si>
    <t>Chief of Staff Operations &amp; IT</t>
  </si>
  <si>
    <t>Schaffhauser Kantonalbank</t>
  </si>
  <si>
    <t>Head of Decentralized Category Management</t>
  </si>
  <si>
    <t>Vattenfall AB</t>
  </si>
  <si>
    <t>International Management</t>
  </si>
  <si>
    <t>Uni Guadalajara</t>
  </si>
  <si>
    <t>Project Manager Civil Engineering</t>
  </si>
  <si>
    <t>Ribi Blum</t>
  </si>
  <si>
    <t>Civil Engineering</t>
  </si>
  <si>
    <t>Project Manager Controlling</t>
  </si>
  <si>
    <t>USZ</t>
  </si>
  <si>
    <t>Facility Management, Real Estate</t>
  </si>
  <si>
    <t>ZHAW, HSLU</t>
  </si>
  <si>
    <t>Finance Business Partner Analytics</t>
  </si>
  <si>
    <t>Intl. Management, Strategic Financial Management</t>
  </si>
  <si>
    <t>Uni Derby, Uni Derby</t>
  </si>
  <si>
    <t>B2B Product Manager and Operations</t>
  </si>
  <si>
    <t>Samsung Electronics</t>
  </si>
  <si>
    <t>Clothing and Textiles, Management</t>
  </si>
  <si>
    <t>Seoul National University, Lancaster University</t>
  </si>
  <si>
    <t>Information Security Officer</t>
  </si>
  <si>
    <t>Swiss National Supercomputing Centre (ETH)</t>
  </si>
  <si>
    <t>FUMEC University</t>
  </si>
  <si>
    <t>Senior Consultant</t>
  </si>
  <si>
    <t>Physics, Materials Engineering</t>
  </si>
  <si>
    <t>Uni Camerino, Uni Padova</t>
  </si>
  <si>
    <t>Industry Practice Lead, Director - Corporate Solutions</t>
  </si>
  <si>
    <t>Economics and Oriental Languages, International Management</t>
  </si>
  <si>
    <t>Ca’ Foscari University, Bocconi</t>
  </si>
  <si>
    <t>Practice Manager (product/ innovation leadership)</t>
  </si>
  <si>
    <t>Management, Strategy and International Management</t>
  </si>
  <si>
    <t>HEC Lausanne, HSG</t>
  </si>
  <si>
    <t>Director</t>
  </si>
  <si>
    <t>NOK Group</t>
  </si>
  <si>
    <t>Business and Finance</t>
  </si>
  <si>
    <t>Stockholm School of Economics</t>
  </si>
  <si>
    <t>Swiss Alpine Club</t>
  </si>
  <si>
    <t>Retail - services</t>
  </si>
  <si>
    <t>Banking &amp; Finance, Business Information Systems</t>
  </si>
  <si>
    <t>FHNW, FHNW</t>
  </si>
  <si>
    <t>Associate Director - Corporate Business Strategy</t>
  </si>
  <si>
    <t>Ernst &amp; Young</t>
  </si>
  <si>
    <t>Economics, Intl Project Mgmt, Intl Risk Mgmt</t>
  </si>
  <si>
    <t>Institute of City Planning &amp; Science-Po, HEC</t>
  </si>
  <si>
    <t>Head of Korea - Business Development &amp; Senior Account Executive</t>
  </si>
  <si>
    <t>AppTweak</t>
  </si>
  <si>
    <t>Design Management, Business</t>
  </si>
  <si>
    <t>Hochschule Luzern, Sungkyunkwan University</t>
  </si>
  <si>
    <t>Program</t>
  </si>
  <si>
    <t>catalyst advisory GmbH</t>
  </si>
  <si>
    <t>Diplom</t>
  </si>
  <si>
    <t>FS26 CAS AIS Participants (includes MAS AID participants)</t>
  </si>
  <si>
    <t>Product Manager</t>
  </si>
  <si>
    <t>Informatikingenieur</t>
  </si>
  <si>
    <t>Business Informatics</t>
  </si>
  <si>
    <t>Fernuniversitaet Hagen</t>
  </si>
  <si>
    <t>Software</t>
  </si>
  <si>
    <t>Business, Business</t>
  </si>
  <si>
    <t>Barcelona University, UZH</t>
  </si>
  <si>
    <t>Finance - Insurance</t>
  </si>
  <si>
    <t>Management, Innovation and Entrepreneurship</t>
  </si>
  <si>
    <t>ZHAW, ZHAW</t>
  </si>
  <si>
    <t>Diplom, MBA</t>
  </si>
  <si>
    <t>International Business, Business</t>
  </si>
  <si>
    <t>ESCE, McGill</t>
  </si>
  <si>
    <t>Business, Accounting and Finance</t>
  </si>
  <si>
    <t>St. Gallen University of Applied Sciences, HSG</t>
  </si>
  <si>
    <t>Physics Engineering</t>
  </si>
  <si>
    <t>BA, MA</t>
  </si>
  <si>
    <t>Business Administration, Business Innovation</t>
  </si>
  <si>
    <t>HSG, HSG</t>
  </si>
  <si>
    <t>UZH, UZH</t>
  </si>
  <si>
    <t>Management, Marketing</t>
  </si>
  <si>
    <t>Cultural Studies, Business Admin</t>
  </si>
  <si>
    <t>Uni Lucerne, Lucerne Uni Applied Sciences</t>
  </si>
  <si>
    <t>Director Growth Advisory</t>
  </si>
  <si>
    <t>Economics, Banking and Finance</t>
  </si>
  <si>
    <t>Uni Zurich, HSG</t>
  </si>
  <si>
    <t>MA, MBA</t>
  </si>
  <si>
    <t>Global Diplomacy, MBA</t>
  </si>
  <si>
    <t>SOAS London, UEBS Edinburgh</t>
  </si>
  <si>
    <t>Food</t>
  </si>
  <si>
    <t>PhD</t>
  </si>
  <si>
    <t>Mechanical Engineering</t>
  </si>
  <si>
    <t>Imperial College London</t>
  </si>
  <si>
    <t>Medical Informatics</t>
  </si>
  <si>
    <t>Ruprecht-Karls Universität Heidelberg</t>
  </si>
  <si>
    <t>Psychology</t>
  </si>
  <si>
    <t>University of Zurich (UZH)</t>
  </si>
  <si>
    <t>Co-Founder</t>
  </si>
  <si>
    <t>EMBARK.LAW</t>
  </si>
  <si>
    <t>Law</t>
  </si>
  <si>
    <t>Uni Fribourg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</si>
</sst>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4" fontId="0" fillId="0" borderId="0" xfId="0" applyNumberFormat="1" applyAlignment="1">
      <alignment horizontal="center"/>
    </xf>
    <xf numFmtId="0" fontId="3" fillId="0" borderId="0" xfId="1"/>
    <xf numFmtId="164" fontId="0" fillId="0" borderId="0" xfId="0" applyNumberFormat="1" applyAlignment="1">
      <alignment horizontal="center"/>
    </xf>
    <xf numFmtId="0" fontId="3" fillId="0" borderId="0" xfId="1" applyAlignment="1">
      <alignment wrapText="1"/>
    </xf>
    <xf numFmtId="0" fontId="3" fillId="0" borderId="0" xfId="1" applyAlignment="1">
      <alignment horizontal="left"/>
    </xf>
    <xf numFmtId="0" fontId="1" fillId="0" borderId="0" xfId="2"/>
    <xf numFmtId="0" fontId="3" fillId="0" borderId="0" xfId="1" applyFill="1"/>
    <xf numFmtId="0" fontId="1" fillId="0" borderId="0" xfId="2" applyAlignment="1">
      <alignment horizontal="center"/>
    </xf>
    <xf numFmtId="0" fontId="1" fillId="0" borderId="0" xfId="2" applyAlignment="1">
      <alignment horizontal="left"/>
    </xf>
    <xf numFmtId="14" fontId="1" fillId="0" borderId="0" xfId="2" applyNumberFormat="1" applyAlignment="1">
      <alignment horizontal="left"/>
    </xf>
    <xf numFmtId="0" fontId="3" fillId="0" borderId="0" xfId="1" applyFill="1" applyAlignment="1">
      <alignment horizontal="left"/>
    </xf>
    <xf numFmtId="0" fontId="4" fillId="0" borderId="0" xfId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1" applyFont="1" applyFill="1" applyAlignment="1">
      <alignment horizontal="left"/>
    </xf>
    <xf numFmtId="0" fontId="4" fillId="0" borderId="0" xfId="1" applyFont="1" applyFill="1"/>
    <xf numFmtId="9" fontId="0" fillId="0" borderId="0" xfId="3" applyFont="1"/>
    <xf numFmtId="0" fontId="4" fillId="0" borderId="0" xfId="1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</cellXfs>
  <cellStyles count="4">
    <cellStyle name="Hyperlink" xfId="1" builtinId="8"/>
    <cellStyle name="Normal" xfId="0" builtinId="0"/>
    <cellStyle name="Normal 2" xfId="2" xr:uid="{4626AD7B-9EA5-4484-937C-A1B6258B7615}"/>
    <cellStyle name="Per cent" xfId="3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4049-87F7-42D7-9574-2B637AE322E5}">
  <dimension ref="A1:AI53"/>
  <sheetViews>
    <sheetView tabSelected="1" zoomScale="90" zoomScaleNormal="90" workbookViewId="0">
      <pane xSplit="4" ySplit="2" topLeftCell="E10" activePane="bottomRight" state="frozen"/>
      <selection pane="topRight" activeCell="G1" sqref="G1"/>
      <selection pane="bottomLeft" activeCell="A3" sqref="A3"/>
      <selection pane="bottomRight" activeCell="L16" sqref="L16:L17"/>
    </sheetView>
  </sheetViews>
  <sheetFormatPr baseColWidth="10" defaultColWidth="8.83203125" defaultRowHeight="15" x14ac:dyDescent="0.2"/>
  <cols>
    <col min="1" max="1" width="3.33203125" style="1" bestFit="1" customWidth="1"/>
    <col min="2" max="2" width="5" bestFit="1" customWidth="1"/>
    <col min="3" max="3" width="15.33203125" bestFit="1" customWidth="1"/>
    <col min="4" max="4" width="16.5" bestFit="1" customWidth="1"/>
    <col min="5" max="5" width="8.83203125" customWidth="1"/>
    <col min="6" max="6" width="42.5" style="2" bestFit="1" customWidth="1"/>
    <col min="7" max="7" width="27.1640625" style="2" customWidth="1"/>
    <col min="8" max="8" width="13.83203125" style="2" customWidth="1"/>
    <col min="9" max="9" width="15.5" style="1" customWidth="1"/>
    <col min="10" max="10" width="12.33203125" style="1" customWidth="1"/>
    <col min="11" max="11" width="16.1640625" style="2" customWidth="1"/>
    <col min="12" max="12" width="17.1640625" customWidth="1"/>
    <col min="13" max="13" width="19.5" customWidth="1"/>
    <col min="14" max="14" width="46.6640625" customWidth="1"/>
  </cols>
  <sheetData>
    <row r="1" spans="1:35" x14ac:dyDescent="0.2">
      <c r="A1" s="27" t="s">
        <v>166</v>
      </c>
      <c r="B1" s="2"/>
      <c r="N1" s="2"/>
    </row>
    <row r="2" spans="1:35" x14ac:dyDescent="0.2">
      <c r="A2" s="4">
        <v>0</v>
      </c>
      <c r="B2" s="5" t="s">
        <v>0</v>
      </c>
      <c r="C2" s="5" t="s">
        <v>1</v>
      </c>
      <c r="D2" s="5" t="s">
        <v>2</v>
      </c>
      <c r="E2" s="5" t="s">
        <v>163</v>
      </c>
      <c r="F2" s="6" t="s">
        <v>0</v>
      </c>
      <c r="G2" s="6" t="s">
        <v>3</v>
      </c>
      <c r="H2" s="6" t="s">
        <v>4</v>
      </c>
      <c r="I2" s="4" t="s">
        <v>7</v>
      </c>
      <c r="J2" s="4" t="s">
        <v>8</v>
      </c>
      <c r="K2" s="4" t="s">
        <v>26</v>
      </c>
      <c r="L2" s="6" t="s">
        <v>5</v>
      </c>
      <c r="M2" s="6" t="s">
        <v>6</v>
      </c>
      <c r="N2" s="6"/>
      <c r="O2" s="3"/>
      <c r="P2" s="3"/>
      <c r="Q2" s="3"/>
    </row>
    <row r="3" spans="1:35" x14ac:dyDescent="0.2">
      <c r="A3" s="1">
        <f t="shared" ref="A3:A25" si="0">A2+1</f>
        <v>1</v>
      </c>
      <c r="B3" s="12" t="s">
        <v>9</v>
      </c>
      <c r="C3" s="12" t="s">
        <v>89</v>
      </c>
      <c r="D3" s="12" t="s">
        <v>90</v>
      </c>
      <c r="E3" s="12" t="s">
        <v>91</v>
      </c>
      <c r="F3" s="2" t="s">
        <v>92</v>
      </c>
      <c r="G3" s="2" t="s">
        <v>93</v>
      </c>
      <c r="H3" s="2" t="s">
        <v>94</v>
      </c>
      <c r="I3" s="1">
        <v>11</v>
      </c>
      <c r="J3" s="1" t="s">
        <v>18</v>
      </c>
      <c r="K3" s="1" t="s">
        <v>33</v>
      </c>
      <c r="L3" s="2" t="s">
        <v>95</v>
      </c>
      <c r="M3" s="2" t="s">
        <v>96</v>
      </c>
      <c r="N3" s="17"/>
      <c r="O3" s="22"/>
      <c r="R3" s="2"/>
      <c r="S3" s="9"/>
      <c r="T3" s="1"/>
      <c r="U3" s="2"/>
      <c r="V3" s="1"/>
      <c r="Y3" s="8"/>
    </row>
    <row r="4" spans="1:35" x14ac:dyDescent="0.2">
      <c r="A4" s="1">
        <f t="shared" si="0"/>
        <v>2</v>
      </c>
      <c r="B4" s="12" t="s">
        <v>11</v>
      </c>
      <c r="C4" s="12" t="s">
        <v>22</v>
      </c>
      <c r="D4" s="12" t="s">
        <v>97</v>
      </c>
      <c r="E4" s="12" t="s">
        <v>91</v>
      </c>
      <c r="F4" s="2" t="s">
        <v>98</v>
      </c>
      <c r="G4" s="16" t="s">
        <v>99</v>
      </c>
      <c r="H4" s="2" t="s">
        <v>28</v>
      </c>
      <c r="I4" s="1">
        <v>8</v>
      </c>
      <c r="J4" s="1" t="s">
        <v>18</v>
      </c>
      <c r="K4" s="1" t="s">
        <v>24</v>
      </c>
      <c r="L4" s="2" t="s">
        <v>100</v>
      </c>
      <c r="M4" s="2" t="s">
        <v>101</v>
      </c>
      <c r="N4" s="17"/>
      <c r="O4" s="22"/>
      <c r="P4" s="7"/>
      <c r="Q4" s="8"/>
      <c r="R4" s="1"/>
      <c r="T4" s="2"/>
      <c r="U4" s="1"/>
      <c r="V4" s="1"/>
      <c r="W4" s="2"/>
      <c r="Y4" s="1"/>
      <c r="AA4" s="8"/>
    </row>
    <row r="5" spans="1:35" x14ac:dyDescent="0.2">
      <c r="A5" s="1">
        <f t="shared" si="0"/>
        <v>3</v>
      </c>
      <c r="B5" s="12" t="s">
        <v>11</v>
      </c>
      <c r="C5" s="12" t="s">
        <v>70</v>
      </c>
      <c r="D5" s="12" t="s">
        <v>71</v>
      </c>
      <c r="E5" s="12" t="s">
        <v>21</v>
      </c>
      <c r="F5" s="2" t="s">
        <v>167</v>
      </c>
      <c r="G5" s="12" t="s">
        <v>72</v>
      </c>
      <c r="H5" s="12" t="s">
        <v>94</v>
      </c>
      <c r="I5" s="14">
        <v>25</v>
      </c>
      <c r="J5" s="14" t="s">
        <v>19</v>
      </c>
      <c r="K5" s="1" t="s">
        <v>165</v>
      </c>
      <c r="L5" s="23" t="s">
        <v>168</v>
      </c>
      <c r="M5" s="23" t="s">
        <v>16</v>
      </c>
      <c r="N5" s="13"/>
    </row>
    <row r="6" spans="1:35" x14ac:dyDescent="0.2">
      <c r="A6" s="1">
        <f t="shared" si="0"/>
        <v>4</v>
      </c>
      <c r="B6" s="12" t="s">
        <v>9</v>
      </c>
      <c r="C6" s="12" t="s">
        <v>102</v>
      </c>
      <c r="D6" s="12" t="s">
        <v>103</v>
      </c>
      <c r="E6" s="12" t="s">
        <v>91</v>
      </c>
      <c r="F6" s="2" t="s">
        <v>51</v>
      </c>
      <c r="G6" s="2" t="s">
        <v>37</v>
      </c>
      <c r="H6" s="2" t="s">
        <v>10</v>
      </c>
      <c r="I6" s="1">
        <v>10</v>
      </c>
      <c r="J6" s="1" t="s">
        <v>17</v>
      </c>
      <c r="K6" s="19" t="s">
        <v>104</v>
      </c>
      <c r="L6" s="20" t="s">
        <v>105</v>
      </c>
      <c r="M6" s="20" t="s">
        <v>106</v>
      </c>
      <c r="N6" s="17"/>
      <c r="O6" s="22"/>
      <c r="P6" s="8"/>
      <c r="Q6" s="1"/>
      <c r="S6" s="2"/>
      <c r="T6" s="1"/>
      <c r="U6" s="1"/>
      <c r="V6" s="2"/>
      <c r="W6" s="1"/>
      <c r="Z6" s="8"/>
    </row>
    <row r="7" spans="1:35" x14ac:dyDescent="0.2">
      <c r="A7" s="1">
        <f t="shared" si="0"/>
        <v>5</v>
      </c>
      <c r="B7" s="12" t="s">
        <v>9</v>
      </c>
      <c r="C7" s="12" t="s">
        <v>50</v>
      </c>
      <c r="D7" s="12" t="s">
        <v>107</v>
      </c>
      <c r="E7" s="12" t="s">
        <v>91</v>
      </c>
      <c r="F7" s="2" t="s">
        <v>108</v>
      </c>
      <c r="G7" s="2" t="s">
        <v>109</v>
      </c>
      <c r="H7" s="2" t="s">
        <v>49</v>
      </c>
      <c r="I7" s="1">
        <v>19</v>
      </c>
      <c r="J7" s="1" t="s">
        <v>17</v>
      </c>
      <c r="K7" s="1" t="s">
        <v>30</v>
      </c>
      <c r="L7" s="15" t="s">
        <v>110</v>
      </c>
      <c r="M7" s="15" t="s">
        <v>111</v>
      </c>
      <c r="N7" s="17"/>
      <c r="O7" s="22"/>
      <c r="P7" s="10"/>
      <c r="Q7" s="1"/>
      <c r="S7" s="2"/>
      <c r="T7" s="1"/>
      <c r="U7" s="1"/>
      <c r="V7" s="2"/>
      <c r="W7" s="1"/>
      <c r="Y7" s="1"/>
      <c r="Z7" s="8"/>
    </row>
    <row r="8" spans="1:35" x14ac:dyDescent="0.2">
      <c r="A8" s="1">
        <f t="shared" si="0"/>
        <v>6</v>
      </c>
      <c r="B8" s="12" t="s">
        <v>9</v>
      </c>
      <c r="C8" s="12" t="s">
        <v>112</v>
      </c>
      <c r="D8" s="12" t="s">
        <v>113</v>
      </c>
      <c r="E8" s="12" t="s">
        <v>91</v>
      </c>
      <c r="F8" s="2" t="s">
        <v>15</v>
      </c>
      <c r="G8" s="2" t="s">
        <v>109</v>
      </c>
      <c r="H8" s="2" t="s">
        <v>10</v>
      </c>
      <c r="I8" s="1">
        <v>17</v>
      </c>
      <c r="J8" s="1" t="s">
        <v>17</v>
      </c>
      <c r="K8" s="19" t="s">
        <v>29</v>
      </c>
      <c r="L8" s="20" t="s">
        <v>36</v>
      </c>
      <c r="M8" s="20" t="s">
        <v>114</v>
      </c>
      <c r="N8" s="17"/>
      <c r="O8" s="20"/>
      <c r="P8" s="7"/>
      <c r="Q8" s="11"/>
      <c r="R8" s="7"/>
      <c r="T8" s="2"/>
      <c r="U8" s="1"/>
      <c r="V8" s="1"/>
      <c r="W8" s="2"/>
      <c r="Y8" s="1"/>
      <c r="Z8" s="1"/>
      <c r="AA8" s="11"/>
    </row>
    <row r="9" spans="1:35" x14ac:dyDescent="0.2">
      <c r="A9" s="1">
        <f t="shared" si="0"/>
        <v>7</v>
      </c>
      <c r="B9" s="12" t="s">
        <v>11</v>
      </c>
      <c r="C9" s="12" t="s">
        <v>59</v>
      </c>
      <c r="D9" s="12" t="s">
        <v>60</v>
      </c>
      <c r="E9" s="12" t="s">
        <v>21</v>
      </c>
      <c r="F9" s="2" t="s">
        <v>61</v>
      </c>
      <c r="G9" s="12" t="s">
        <v>62</v>
      </c>
      <c r="H9" s="12" t="s">
        <v>171</v>
      </c>
      <c r="I9" s="14">
        <v>24</v>
      </c>
      <c r="J9" s="1" t="s">
        <v>18</v>
      </c>
      <c r="K9" s="1" t="s">
        <v>43</v>
      </c>
      <c r="L9" s="2" t="s">
        <v>169</v>
      </c>
      <c r="M9" s="2" t="s">
        <v>170</v>
      </c>
      <c r="N9" s="13"/>
    </row>
    <row r="10" spans="1:35" s="26" customFormat="1" x14ac:dyDescent="0.2">
      <c r="A10" s="1">
        <f t="shared" si="0"/>
        <v>8</v>
      </c>
      <c r="B10" s="12" t="s">
        <v>11</v>
      </c>
      <c r="C10" s="12"/>
      <c r="D10" s="12"/>
      <c r="E10" s="12" t="s">
        <v>91</v>
      </c>
      <c r="F10" s="12" t="s">
        <v>115</v>
      </c>
      <c r="G10" s="15" t="s">
        <v>116</v>
      </c>
      <c r="H10" s="15" t="s">
        <v>10</v>
      </c>
      <c r="I10" s="14">
        <v>10</v>
      </c>
      <c r="J10" s="14" t="s">
        <v>19</v>
      </c>
      <c r="K10" s="14" t="s">
        <v>14</v>
      </c>
      <c r="L10" s="15" t="s">
        <v>13</v>
      </c>
      <c r="M10" s="15" t="s">
        <v>45</v>
      </c>
      <c r="N10" s="17"/>
      <c r="O10" s="22"/>
      <c r="P10" s="1"/>
      <c r="Q10"/>
      <c r="R10" s="2"/>
      <c r="S10" s="1"/>
      <c r="T10" s="1"/>
      <c r="U10" s="2"/>
      <c r="V10" s="1"/>
      <c r="W10"/>
      <c r="X10"/>
      <c r="Y10" s="8"/>
      <c r="Z10"/>
      <c r="AA10"/>
      <c r="AB10"/>
      <c r="AC10"/>
      <c r="AD10"/>
      <c r="AE10"/>
      <c r="AF10"/>
      <c r="AG10"/>
      <c r="AH10"/>
      <c r="AI10"/>
    </row>
    <row r="11" spans="1:35" x14ac:dyDescent="0.2">
      <c r="A11" s="1">
        <f t="shared" si="0"/>
        <v>9</v>
      </c>
      <c r="B11" s="12" t="s">
        <v>9</v>
      </c>
      <c r="C11" s="12"/>
      <c r="D11" s="12"/>
      <c r="E11" s="12" t="s">
        <v>91</v>
      </c>
      <c r="F11" s="2" t="s">
        <v>117</v>
      </c>
      <c r="G11" s="2" t="s">
        <v>118</v>
      </c>
      <c r="H11" s="2" t="s">
        <v>12</v>
      </c>
      <c r="I11" s="1">
        <v>14</v>
      </c>
      <c r="J11" s="1" t="s">
        <v>19</v>
      </c>
      <c r="K11" s="19" t="s">
        <v>33</v>
      </c>
      <c r="L11" s="20" t="s">
        <v>119</v>
      </c>
      <c r="M11" s="20" t="s">
        <v>120</v>
      </c>
      <c r="N11" s="17"/>
      <c r="O11" s="22"/>
      <c r="P11" s="11"/>
      <c r="Q11" s="2"/>
      <c r="R11" s="1"/>
      <c r="S11" s="1"/>
      <c r="T11" s="1"/>
      <c r="U11" s="2"/>
      <c r="Y11" s="7"/>
      <c r="Z11" s="11"/>
      <c r="AA11" s="1"/>
      <c r="AC11" s="2"/>
      <c r="AD11" s="1"/>
      <c r="AE11" s="1"/>
      <c r="AF11" s="2"/>
      <c r="AG11" s="1"/>
      <c r="AI11" s="8"/>
    </row>
    <row r="12" spans="1:35" x14ac:dyDescent="0.2">
      <c r="A12" s="1">
        <f t="shared" si="0"/>
        <v>10</v>
      </c>
      <c r="B12" s="12" t="s">
        <v>11</v>
      </c>
      <c r="C12" s="12"/>
      <c r="D12" s="12"/>
      <c r="E12" s="12" t="s">
        <v>21</v>
      </c>
      <c r="F12" s="2" t="s">
        <v>73</v>
      </c>
      <c r="G12" s="2" t="s">
        <v>74</v>
      </c>
      <c r="H12" s="2" t="s">
        <v>171</v>
      </c>
      <c r="I12" s="1">
        <v>18</v>
      </c>
      <c r="J12" s="1" t="s">
        <v>20</v>
      </c>
      <c r="K12" s="25" t="s">
        <v>32</v>
      </c>
      <c r="L12" s="23" t="s">
        <v>172</v>
      </c>
      <c r="M12" s="23" t="s">
        <v>173</v>
      </c>
      <c r="N12" s="11"/>
    </row>
    <row r="13" spans="1:35" x14ac:dyDescent="0.2">
      <c r="A13" s="1">
        <f t="shared" si="0"/>
        <v>11</v>
      </c>
      <c r="B13" s="12" t="s">
        <v>11</v>
      </c>
      <c r="C13" s="12"/>
      <c r="D13" s="12"/>
      <c r="E13" s="12" t="s">
        <v>91</v>
      </c>
      <c r="F13" s="2" t="s">
        <v>121</v>
      </c>
      <c r="G13" s="2" t="s">
        <v>122</v>
      </c>
      <c r="H13" s="2" t="s">
        <v>94</v>
      </c>
      <c r="I13" s="1">
        <v>5</v>
      </c>
      <c r="J13" s="1" t="s">
        <v>17</v>
      </c>
      <c r="K13" s="1" t="s">
        <v>24</v>
      </c>
      <c r="L13" s="2" t="s">
        <v>123</v>
      </c>
      <c r="M13" s="2" t="s">
        <v>52</v>
      </c>
      <c r="N13" s="17"/>
      <c r="O13" s="22"/>
      <c r="P13" s="2"/>
      <c r="Q13" s="1"/>
      <c r="S13" s="2"/>
      <c r="T13" s="1"/>
      <c r="U13" s="1"/>
      <c r="V13" s="2"/>
      <c r="W13" s="1"/>
      <c r="Z13" s="8"/>
    </row>
    <row r="14" spans="1:35" x14ac:dyDescent="0.2">
      <c r="A14" s="1">
        <f t="shared" si="0"/>
        <v>12</v>
      </c>
      <c r="B14" s="12" t="s">
        <v>11</v>
      </c>
      <c r="C14" s="12"/>
      <c r="D14" s="12"/>
      <c r="E14" s="12" t="s">
        <v>21</v>
      </c>
      <c r="F14" s="2" t="s">
        <v>190</v>
      </c>
      <c r="G14" s="2" t="s">
        <v>37</v>
      </c>
      <c r="H14" s="2" t="s">
        <v>10</v>
      </c>
      <c r="I14" s="1">
        <v>7</v>
      </c>
      <c r="J14" s="1" t="s">
        <v>19</v>
      </c>
      <c r="K14" s="19" t="s">
        <v>183</v>
      </c>
      <c r="L14" s="20" t="s">
        <v>191</v>
      </c>
      <c r="M14" s="20" t="s">
        <v>192</v>
      </c>
      <c r="N14" s="17"/>
    </row>
    <row r="15" spans="1:35" x14ac:dyDescent="0.2">
      <c r="A15" s="1">
        <f t="shared" si="0"/>
        <v>13</v>
      </c>
      <c r="B15" s="12" t="s">
        <v>11</v>
      </c>
      <c r="C15" s="12"/>
      <c r="D15" s="12"/>
      <c r="E15" s="12" t="s">
        <v>21</v>
      </c>
      <c r="F15" s="2" t="s">
        <v>76</v>
      </c>
      <c r="G15" s="2" t="s">
        <v>57</v>
      </c>
      <c r="H15" s="2" t="s">
        <v>31</v>
      </c>
      <c r="I15" s="1">
        <v>27</v>
      </c>
      <c r="J15" s="1" t="s">
        <v>19</v>
      </c>
      <c r="K15" s="19" t="s">
        <v>29</v>
      </c>
      <c r="L15" s="20" t="s">
        <v>200</v>
      </c>
      <c r="M15" s="20" t="s">
        <v>201</v>
      </c>
      <c r="N15" s="17"/>
    </row>
    <row r="16" spans="1:35" x14ac:dyDescent="0.2">
      <c r="A16" s="1">
        <f t="shared" si="0"/>
        <v>14</v>
      </c>
      <c r="B16" s="12" t="s">
        <v>9</v>
      </c>
      <c r="C16" s="12"/>
      <c r="D16" s="12"/>
      <c r="E16" s="12" t="s">
        <v>21</v>
      </c>
      <c r="F16" s="18" t="s">
        <v>54</v>
      </c>
      <c r="G16" s="15" t="s">
        <v>55</v>
      </c>
      <c r="H16" s="15" t="s">
        <v>174</v>
      </c>
      <c r="I16" s="14">
        <v>5</v>
      </c>
      <c r="J16" s="14" t="s">
        <v>17</v>
      </c>
      <c r="K16" s="1" t="s">
        <v>24</v>
      </c>
      <c r="L16" s="2" t="s">
        <v>175</v>
      </c>
      <c r="M16" s="2" t="s">
        <v>176</v>
      </c>
      <c r="N16" s="17"/>
    </row>
    <row r="17" spans="1:25" x14ac:dyDescent="0.2">
      <c r="A17" s="1">
        <f t="shared" si="0"/>
        <v>15</v>
      </c>
      <c r="B17" s="12" t="s">
        <v>11</v>
      </c>
      <c r="C17" s="12"/>
      <c r="D17" s="12"/>
      <c r="E17" s="12" t="s">
        <v>91</v>
      </c>
      <c r="F17" s="2" t="s">
        <v>124</v>
      </c>
      <c r="G17" s="2" t="s">
        <v>125</v>
      </c>
      <c r="H17" s="2" t="s">
        <v>49</v>
      </c>
      <c r="I17" s="1">
        <v>5</v>
      </c>
      <c r="J17" s="1" t="s">
        <v>17</v>
      </c>
      <c r="K17" s="19" t="s">
        <v>24</v>
      </c>
      <c r="L17" s="20" t="s">
        <v>126</v>
      </c>
      <c r="M17" s="20" t="s">
        <v>127</v>
      </c>
      <c r="N17" s="17"/>
      <c r="O17" s="20"/>
      <c r="P17" s="21"/>
      <c r="Q17" s="2"/>
      <c r="R17" s="1"/>
      <c r="T17" s="2"/>
      <c r="U17" s="1"/>
      <c r="V17" s="1"/>
      <c r="W17" s="2"/>
      <c r="Y17" s="1"/>
    </row>
    <row r="18" spans="1:25" x14ac:dyDescent="0.2">
      <c r="A18" s="1">
        <f t="shared" si="0"/>
        <v>16</v>
      </c>
      <c r="B18" s="12" t="s">
        <v>9</v>
      </c>
      <c r="C18" s="12"/>
      <c r="D18" s="12"/>
      <c r="E18" s="12" t="s">
        <v>21</v>
      </c>
      <c r="F18" s="12" t="s">
        <v>77</v>
      </c>
      <c r="G18" s="15" t="s">
        <v>78</v>
      </c>
      <c r="H18" s="12" t="s">
        <v>94</v>
      </c>
      <c r="I18" s="14">
        <v>22</v>
      </c>
      <c r="J18" s="14" t="s">
        <v>20</v>
      </c>
      <c r="K18" s="19" t="s">
        <v>177</v>
      </c>
      <c r="L18" s="20" t="s">
        <v>178</v>
      </c>
      <c r="M18" s="20" t="s">
        <v>179</v>
      </c>
      <c r="N18" s="17"/>
    </row>
    <row r="19" spans="1:25" x14ac:dyDescent="0.2">
      <c r="A19" s="1">
        <f t="shared" si="0"/>
        <v>17</v>
      </c>
      <c r="B19" s="12" t="s">
        <v>11</v>
      </c>
      <c r="C19" s="12"/>
      <c r="D19" s="12"/>
      <c r="E19" s="12" t="s">
        <v>91</v>
      </c>
      <c r="F19" s="2" t="s">
        <v>128</v>
      </c>
      <c r="G19" s="2" t="s">
        <v>56</v>
      </c>
      <c r="H19" s="2" t="s">
        <v>49</v>
      </c>
      <c r="I19" s="1">
        <v>15</v>
      </c>
      <c r="J19" s="1" t="s">
        <v>17</v>
      </c>
      <c r="K19" s="19" t="s">
        <v>38</v>
      </c>
      <c r="L19" s="20" t="s">
        <v>129</v>
      </c>
      <c r="M19" s="20" t="s">
        <v>130</v>
      </c>
      <c r="N19" s="17"/>
      <c r="O19" s="23"/>
      <c r="P19" s="1"/>
      <c r="R19" s="2"/>
      <c r="S19" s="1"/>
      <c r="T19" s="1"/>
      <c r="U19" s="2"/>
      <c r="V19" s="1"/>
    </row>
    <row r="20" spans="1:25" x14ac:dyDescent="0.2">
      <c r="A20" s="1">
        <f t="shared" si="0"/>
        <v>18</v>
      </c>
      <c r="B20" s="12" t="s">
        <v>9</v>
      </c>
      <c r="C20" s="12"/>
      <c r="D20" s="12"/>
      <c r="E20" s="12" t="s">
        <v>91</v>
      </c>
      <c r="F20" s="2" t="s">
        <v>131</v>
      </c>
      <c r="G20" s="2" t="s">
        <v>132</v>
      </c>
      <c r="H20" s="2" t="s">
        <v>46</v>
      </c>
      <c r="I20" s="1">
        <v>13</v>
      </c>
      <c r="J20" s="1" t="s">
        <v>17</v>
      </c>
      <c r="K20" s="1" t="s">
        <v>39</v>
      </c>
      <c r="L20" s="2" t="s">
        <v>133</v>
      </c>
      <c r="M20" s="2" t="s">
        <v>134</v>
      </c>
      <c r="N20" s="17"/>
      <c r="O20" s="22"/>
      <c r="R20" s="2"/>
      <c r="S20" s="1"/>
      <c r="T20" s="1"/>
      <c r="U20" s="1"/>
      <c r="V20" s="2"/>
    </row>
    <row r="21" spans="1:25" x14ac:dyDescent="0.2">
      <c r="A21" s="1">
        <f t="shared" si="0"/>
        <v>19</v>
      </c>
      <c r="B21" s="12" t="s">
        <v>11</v>
      </c>
      <c r="C21" s="12"/>
      <c r="D21" s="12"/>
      <c r="E21" s="12" t="s">
        <v>21</v>
      </c>
      <c r="F21" s="2" t="s">
        <v>63</v>
      </c>
      <c r="G21" s="2" t="s">
        <v>64</v>
      </c>
      <c r="H21" s="2" t="s">
        <v>10</v>
      </c>
      <c r="I21" s="1">
        <v>11</v>
      </c>
      <c r="J21" s="1" t="s">
        <v>17</v>
      </c>
      <c r="K21" s="19" t="s">
        <v>39</v>
      </c>
      <c r="L21" s="20" t="s">
        <v>180</v>
      </c>
      <c r="M21" s="20" t="s">
        <v>181</v>
      </c>
      <c r="N21" s="17"/>
    </row>
    <row r="22" spans="1:25" x14ac:dyDescent="0.2">
      <c r="A22" s="1">
        <f t="shared" si="0"/>
        <v>20</v>
      </c>
      <c r="B22" s="12" t="s">
        <v>11</v>
      </c>
      <c r="C22" s="12"/>
      <c r="D22" s="12"/>
      <c r="E22" s="12" t="s">
        <v>91</v>
      </c>
      <c r="F22" s="12" t="s">
        <v>135</v>
      </c>
      <c r="G22" s="15" t="s">
        <v>136</v>
      </c>
      <c r="H22" s="15" t="s">
        <v>5</v>
      </c>
      <c r="I22" s="14">
        <v>13</v>
      </c>
      <c r="J22" s="14" t="s">
        <v>17</v>
      </c>
      <c r="K22" s="14" t="s">
        <v>33</v>
      </c>
      <c r="L22" s="15" t="s">
        <v>34</v>
      </c>
      <c r="M22" s="15" t="s">
        <v>137</v>
      </c>
      <c r="N22" s="17"/>
      <c r="O22" s="22"/>
    </row>
    <row r="23" spans="1:25" x14ac:dyDescent="0.2">
      <c r="A23" s="1">
        <f t="shared" si="0"/>
        <v>21</v>
      </c>
      <c r="B23" s="12" t="s">
        <v>11</v>
      </c>
      <c r="C23" s="12"/>
      <c r="D23" s="12"/>
      <c r="E23" s="12" t="s">
        <v>91</v>
      </c>
      <c r="F23" s="2" t="s">
        <v>138</v>
      </c>
      <c r="G23" s="2" t="s">
        <v>47</v>
      </c>
      <c r="H23" s="2" t="s">
        <v>94</v>
      </c>
      <c r="I23" s="1">
        <v>7</v>
      </c>
      <c r="J23" s="1" t="s">
        <v>17</v>
      </c>
      <c r="K23" s="19" t="s">
        <v>24</v>
      </c>
      <c r="L23" s="20" t="s">
        <v>139</v>
      </c>
      <c r="M23" s="20" t="s">
        <v>140</v>
      </c>
      <c r="N23" s="17"/>
      <c r="O23" s="20"/>
    </row>
    <row r="24" spans="1:25" x14ac:dyDescent="0.2">
      <c r="A24" s="1">
        <f t="shared" si="0"/>
        <v>22</v>
      </c>
      <c r="B24" s="12" t="s">
        <v>11</v>
      </c>
      <c r="C24" s="12"/>
      <c r="D24" s="12"/>
      <c r="E24" s="12" t="s">
        <v>21</v>
      </c>
      <c r="F24" s="2" t="s">
        <v>80</v>
      </c>
      <c r="G24" s="2" t="s">
        <v>81</v>
      </c>
      <c r="H24" s="2" t="s">
        <v>82</v>
      </c>
      <c r="I24" s="1">
        <v>13</v>
      </c>
      <c r="J24" s="1" t="s">
        <v>19</v>
      </c>
      <c r="K24" s="30" t="s">
        <v>197</v>
      </c>
      <c r="L24" s="31" t="s">
        <v>198</v>
      </c>
      <c r="M24" s="31" t="s">
        <v>199</v>
      </c>
      <c r="N24" s="17"/>
    </row>
    <row r="25" spans="1:25" x14ac:dyDescent="0.2">
      <c r="A25" s="1">
        <f t="shared" si="0"/>
        <v>23</v>
      </c>
      <c r="B25" s="12" t="s">
        <v>11</v>
      </c>
      <c r="C25" s="12"/>
      <c r="D25" s="12"/>
      <c r="E25" s="12" t="s">
        <v>21</v>
      </c>
      <c r="F25" s="2" t="s">
        <v>65</v>
      </c>
      <c r="G25" s="12" t="s">
        <v>66</v>
      </c>
      <c r="H25" s="12" t="s">
        <v>171</v>
      </c>
      <c r="I25" s="14">
        <v>18</v>
      </c>
      <c r="J25" s="1" t="s">
        <v>18</v>
      </c>
      <c r="K25" s="19" t="s">
        <v>24</v>
      </c>
      <c r="L25" s="20" t="s">
        <v>182</v>
      </c>
      <c r="M25" s="20" t="s">
        <v>101</v>
      </c>
      <c r="N25" s="13"/>
    </row>
    <row r="26" spans="1:25" x14ac:dyDescent="0.2">
      <c r="A26" s="1">
        <f t="shared" ref="A26" si="1">A25+1</f>
        <v>24</v>
      </c>
      <c r="B26" s="12" t="s">
        <v>9</v>
      </c>
      <c r="C26" s="12"/>
      <c r="D26" s="12"/>
      <c r="E26" s="12" t="s">
        <v>21</v>
      </c>
      <c r="F26" s="2" t="s">
        <v>204</v>
      </c>
      <c r="G26" s="2" t="s">
        <v>205</v>
      </c>
      <c r="H26" s="2" t="s">
        <v>53</v>
      </c>
      <c r="I26" s="1">
        <v>17</v>
      </c>
      <c r="J26" s="1" t="s">
        <v>20</v>
      </c>
      <c r="K26" s="19" t="s">
        <v>183</v>
      </c>
      <c r="L26" s="20" t="s">
        <v>206</v>
      </c>
      <c r="M26" s="20" t="s">
        <v>207</v>
      </c>
      <c r="N26" s="17"/>
    </row>
    <row r="27" spans="1:25" x14ac:dyDescent="0.2">
      <c r="A27" s="1">
        <f>A26+1</f>
        <v>25</v>
      </c>
      <c r="B27" s="12" t="s">
        <v>11</v>
      </c>
      <c r="C27" s="12"/>
      <c r="D27" s="12"/>
      <c r="E27" s="12" t="s">
        <v>21</v>
      </c>
      <c r="F27" s="2" t="s">
        <v>83</v>
      </c>
      <c r="G27" s="2" t="s">
        <v>84</v>
      </c>
      <c r="H27" s="2" t="s">
        <v>196</v>
      </c>
      <c r="I27" s="1">
        <v>37</v>
      </c>
      <c r="J27" s="1" t="s">
        <v>19</v>
      </c>
      <c r="K27" s="28" t="s">
        <v>193</v>
      </c>
      <c r="L27" s="29" t="s">
        <v>194</v>
      </c>
      <c r="M27" s="29" t="s">
        <v>195</v>
      </c>
      <c r="N27" s="11"/>
    </row>
    <row r="28" spans="1:25" x14ac:dyDescent="0.2">
      <c r="A28" s="1">
        <f t="shared" ref="A28:A39" si="2">A27+1</f>
        <v>26</v>
      </c>
      <c r="B28" s="12" t="s">
        <v>11</v>
      </c>
      <c r="C28" s="12"/>
      <c r="D28" s="12"/>
      <c r="E28" s="12" t="s">
        <v>91</v>
      </c>
      <c r="F28" s="12" t="s">
        <v>141</v>
      </c>
      <c r="G28" s="15" t="s">
        <v>25</v>
      </c>
      <c r="H28" s="15" t="s">
        <v>10</v>
      </c>
      <c r="I28" s="14">
        <v>12</v>
      </c>
      <c r="J28" s="14" t="s">
        <v>19</v>
      </c>
      <c r="K28" s="14" t="s">
        <v>38</v>
      </c>
      <c r="L28" s="15" t="s">
        <v>142</v>
      </c>
      <c r="M28" s="15" t="s">
        <v>143</v>
      </c>
      <c r="N28" s="17"/>
      <c r="O28" s="22"/>
    </row>
    <row r="29" spans="1:25" x14ac:dyDescent="0.2">
      <c r="A29" s="1">
        <f t="shared" si="2"/>
        <v>27</v>
      </c>
      <c r="B29" s="12" t="s">
        <v>9</v>
      </c>
      <c r="C29" s="12"/>
      <c r="D29" s="12"/>
      <c r="E29" s="12" t="s">
        <v>91</v>
      </c>
      <c r="F29" s="2" t="s">
        <v>144</v>
      </c>
      <c r="G29" s="2" t="s">
        <v>79</v>
      </c>
      <c r="H29" s="2" t="s">
        <v>94</v>
      </c>
      <c r="I29" s="1">
        <v>6</v>
      </c>
      <c r="J29" s="1" t="s">
        <v>19</v>
      </c>
      <c r="K29" s="19" t="s">
        <v>39</v>
      </c>
      <c r="L29" s="20" t="s">
        <v>145</v>
      </c>
      <c r="M29" s="20" t="s">
        <v>146</v>
      </c>
      <c r="N29" s="17"/>
      <c r="O29" s="22"/>
      <c r="P29" s="2"/>
    </row>
    <row r="30" spans="1:25" x14ac:dyDescent="0.2">
      <c r="A30" s="1">
        <f t="shared" si="2"/>
        <v>28</v>
      </c>
      <c r="B30" s="12" t="s">
        <v>11</v>
      </c>
      <c r="C30" s="12"/>
      <c r="D30" s="12"/>
      <c r="E30" s="12" t="s">
        <v>21</v>
      </c>
      <c r="F30" s="2" t="s">
        <v>85</v>
      </c>
      <c r="G30" s="2" t="s">
        <v>44</v>
      </c>
      <c r="H30" s="2" t="s">
        <v>58</v>
      </c>
      <c r="I30" s="1">
        <v>12</v>
      </c>
      <c r="J30" s="1" t="s">
        <v>19</v>
      </c>
      <c r="K30" s="1" t="s">
        <v>29</v>
      </c>
      <c r="L30" s="2" t="s">
        <v>202</v>
      </c>
      <c r="M30" s="2" t="s">
        <v>203</v>
      </c>
      <c r="N30" s="11"/>
    </row>
    <row r="31" spans="1:25" x14ac:dyDescent="0.2">
      <c r="A31" s="1">
        <f t="shared" si="2"/>
        <v>29</v>
      </c>
      <c r="B31" s="12" t="s">
        <v>9</v>
      </c>
      <c r="C31" s="12"/>
      <c r="D31" s="12"/>
      <c r="E31" s="12" t="s">
        <v>21</v>
      </c>
      <c r="F31" s="2" t="s">
        <v>86</v>
      </c>
      <c r="G31" s="2" t="s">
        <v>87</v>
      </c>
      <c r="H31" s="2" t="s">
        <v>35</v>
      </c>
      <c r="I31" s="1">
        <v>8</v>
      </c>
      <c r="J31" s="1" t="s">
        <v>19</v>
      </c>
      <c r="K31" s="28" t="s">
        <v>183</v>
      </c>
      <c r="L31" s="29" t="s">
        <v>184</v>
      </c>
      <c r="M31" s="29" t="s">
        <v>185</v>
      </c>
      <c r="N31" s="11"/>
    </row>
    <row r="32" spans="1:25" x14ac:dyDescent="0.2">
      <c r="A32" s="1">
        <f t="shared" si="2"/>
        <v>30</v>
      </c>
      <c r="B32" s="12" t="s">
        <v>11</v>
      </c>
      <c r="C32" s="12"/>
      <c r="D32" s="12"/>
      <c r="E32" s="12" t="s">
        <v>21</v>
      </c>
      <c r="F32" s="2" t="s">
        <v>88</v>
      </c>
      <c r="G32" s="2" t="s">
        <v>87</v>
      </c>
      <c r="H32" s="2" t="s">
        <v>35</v>
      </c>
      <c r="I32" s="1">
        <v>11</v>
      </c>
      <c r="J32" s="1" t="s">
        <v>20</v>
      </c>
      <c r="K32" s="28" t="s">
        <v>183</v>
      </c>
      <c r="L32" s="20" t="s">
        <v>172</v>
      </c>
      <c r="M32" s="20" t="s">
        <v>186</v>
      </c>
      <c r="N32" s="11"/>
    </row>
    <row r="33" spans="1:22" x14ac:dyDescent="0.2">
      <c r="A33" s="1">
        <f t="shared" si="2"/>
        <v>31</v>
      </c>
      <c r="B33" s="12" t="s">
        <v>11</v>
      </c>
      <c r="C33" s="12"/>
      <c r="D33" s="12"/>
      <c r="E33" s="12" t="s">
        <v>91</v>
      </c>
      <c r="F33" s="2" t="s">
        <v>147</v>
      </c>
      <c r="G33" s="2" t="s">
        <v>148</v>
      </c>
      <c r="H33" s="2" t="s">
        <v>10</v>
      </c>
      <c r="I33" s="1">
        <v>27</v>
      </c>
      <c r="J33" s="1" t="s">
        <v>20</v>
      </c>
      <c r="K33" s="19" t="s">
        <v>43</v>
      </c>
      <c r="L33" s="20" t="s">
        <v>149</v>
      </c>
      <c r="M33" s="20" t="s">
        <v>150</v>
      </c>
      <c r="N33" s="17"/>
      <c r="O33" s="20"/>
      <c r="Q33" s="2"/>
      <c r="R33" s="1"/>
      <c r="S33" s="14"/>
      <c r="T33" s="1"/>
      <c r="U33" s="2"/>
    </row>
    <row r="34" spans="1:22" x14ac:dyDescent="0.2">
      <c r="A34" s="1">
        <f t="shared" si="2"/>
        <v>32</v>
      </c>
      <c r="B34" s="12" t="s">
        <v>11</v>
      </c>
      <c r="C34" s="12"/>
      <c r="D34" s="12"/>
      <c r="E34" s="12" t="s">
        <v>91</v>
      </c>
      <c r="F34" s="2" t="s">
        <v>51</v>
      </c>
      <c r="G34" s="2" t="s">
        <v>151</v>
      </c>
      <c r="H34" s="2" t="s">
        <v>152</v>
      </c>
      <c r="I34" s="1">
        <v>14</v>
      </c>
      <c r="J34" s="1" t="s">
        <v>19</v>
      </c>
      <c r="K34" s="19" t="s">
        <v>24</v>
      </c>
      <c r="L34" s="20" t="s">
        <v>153</v>
      </c>
      <c r="M34" s="20" t="s">
        <v>154</v>
      </c>
      <c r="N34" s="17"/>
      <c r="O34" s="20"/>
    </row>
    <row r="35" spans="1:22" x14ac:dyDescent="0.2">
      <c r="A35" s="1">
        <f t="shared" si="2"/>
        <v>33</v>
      </c>
      <c r="B35" s="12" t="s">
        <v>11</v>
      </c>
      <c r="C35" s="12"/>
      <c r="D35" s="12"/>
      <c r="E35" s="12" t="s">
        <v>91</v>
      </c>
      <c r="F35" s="12" t="s">
        <v>155</v>
      </c>
      <c r="G35" s="2" t="s">
        <v>156</v>
      </c>
      <c r="H35" s="15" t="s">
        <v>94</v>
      </c>
      <c r="I35" s="1">
        <v>12</v>
      </c>
      <c r="J35" s="1" t="s">
        <v>20</v>
      </c>
      <c r="K35" s="14" t="s">
        <v>27</v>
      </c>
      <c r="L35" s="15" t="s">
        <v>157</v>
      </c>
      <c r="M35" s="15" t="s">
        <v>158</v>
      </c>
      <c r="N35" s="17"/>
      <c r="O35" s="22"/>
    </row>
    <row r="36" spans="1:22" x14ac:dyDescent="0.2">
      <c r="A36" s="1">
        <f t="shared" si="2"/>
        <v>34</v>
      </c>
      <c r="B36" s="12" t="s">
        <v>9</v>
      </c>
      <c r="C36" s="12"/>
      <c r="D36" s="12"/>
      <c r="E36" s="12" t="s">
        <v>21</v>
      </c>
      <c r="F36" s="2" t="s">
        <v>68</v>
      </c>
      <c r="G36" s="12" t="s">
        <v>67</v>
      </c>
      <c r="H36" s="12" t="s">
        <v>10</v>
      </c>
      <c r="I36" s="14">
        <v>10</v>
      </c>
      <c r="J36" s="14" t="s">
        <v>17</v>
      </c>
      <c r="K36" s="1" t="s">
        <v>24</v>
      </c>
      <c r="L36" s="2" t="s">
        <v>187</v>
      </c>
      <c r="M36" s="2" t="s">
        <v>176</v>
      </c>
      <c r="N36" s="13"/>
    </row>
    <row r="37" spans="1:22" x14ac:dyDescent="0.2">
      <c r="A37" s="1">
        <f t="shared" si="2"/>
        <v>35</v>
      </c>
      <c r="B37" s="12" t="s">
        <v>11</v>
      </c>
      <c r="C37" s="12"/>
      <c r="D37" s="12"/>
      <c r="E37" s="12" t="s">
        <v>48</v>
      </c>
      <c r="F37" s="2" t="s">
        <v>23</v>
      </c>
      <c r="G37" s="12" t="s">
        <v>164</v>
      </c>
      <c r="H37" s="12" t="s">
        <v>53</v>
      </c>
      <c r="I37" s="14">
        <v>20</v>
      </c>
      <c r="J37" s="14" t="s">
        <v>20</v>
      </c>
      <c r="K37" s="25" t="s">
        <v>165</v>
      </c>
      <c r="L37" s="2" t="s">
        <v>75</v>
      </c>
      <c r="M37" s="23" t="s">
        <v>16</v>
      </c>
      <c r="N37" s="13"/>
      <c r="O37" s="23"/>
    </row>
    <row r="38" spans="1:22" x14ac:dyDescent="0.2">
      <c r="A38" s="1">
        <f t="shared" si="2"/>
        <v>36</v>
      </c>
      <c r="B38" s="12" t="s">
        <v>9</v>
      </c>
      <c r="C38" s="12"/>
      <c r="D38" s="12"/>
      <c r="E38" s="12" t="s">
        <v>21</v>
      </c>
      <c r="F38" s="2" t="s">
        <v>69</v>
      </c>
      <c r="G38" s="2" t="s">
        <v>37</v>
      </c>
      <c r="H38" s="2" t="s">
        <v>10</v>
      </c>
      <c r="I38" s="1">
        <v>8</v>
      </c>
      <c r="J38" s="1" t="s">
        <v>17</v>
      </c>
      <c r="K38" s="28" t="s">
        <v>38</v>
      </c>
      <c r="L38" s="29" t="s">
        <v>188</v>
      </c>
      <c r="M38" s="29" t="s">
        <v>189</v>
      </c>
      <c r="N38" s="17"/>
    </row>
    <row r="39" spans="1:22" x14ac:dyDescent="0.2">
      <c r="A39" s="1">
        <f t="shared" si="2"/>
        <v>37</v>
      </c>
      <c r="B39" s="12" t="s">
        <v>9</v>
      </c>
      <c r="C39" s="12"/>
      <c r="D39" s="12"/>
      <c r="E39" s="12" t="s">
        <v>91</v>
      </c>
      <c r="F39" s="12" t="s">
        <v>159</v>
      </c>
      <c r="G39" s="15" t="s">
        <v>160</v>
      </c>
      <c r="H39" s="15" t="s">
        <v>28</v>
      </c>
      <c r="I39" s="14">
        <v>8</v>
      </c>
      <c r="J39" s="14" t="s">
        <v>20</v>
      </c>
      <c r="K39" s="14" t="s">
        <v>32</v>
      </c>
      <c r="L39" s="15" t="s">
        <v>161</v>
      </c>
      <c r="M39" s="15" t="s">
        <v>162</v>
      </c>
      <c r="N39" s="17"/>
      <c r="O39" s="22"/>
      <c r="Q39" s="2"/>
      <c r="R39" s="2"/>
      <c r="S39" s="1"/>
      <c r="T39" s="14"/>
      <c r="U39" s="1"/>
      <c r="V39" s="2"/>
    </row>
    <row r="40" spans="1:22" x14ac:dyDescent="0.2">
      <c r="B40" s="12"/>
      <c r="C40" s="12"/>
      <c r="D40" s="12"/>
      <c r="E40" s="12"/>
      <c r="K40" s="17"/>
    </row>
    <row r="41" spans="1:22" x14ac:dyDescent="0.2">
      <c r="B41" s="12"/>
      <c r="C41" s="12"/>
      <c r="D41" s="12"/>
      <c r="E41" s="12"/>
      <c r="K41" s="17"/>
    </row>
    <row r="43" spans="1:22" x14ac:dyDescent="0.2">
      <c r="B43" s="1">
        <f>COUNTIF(B3:B39,"Ms.")</f>
        <v>14</v>
      </c>
      <c r="C43" t="s">
        <v>40</v>
      </c>
      <c r="D43" s="1"/>
      <c r="E43" s="1"/>
    </row>
    <row r="44" spans="1:22" x14ac:dyDescent="0.2">
      <c r="B44" s="1">
        <f>COUNTIF(B3:B39,"Mr.")</f>
        <v>23</v>
      </c>
      <c r="C44" t="s">
        <v>41</v>
      </c>
      <c r="D44" s="1"/>
      <c r="E44" s="1"/>
    </row>
    <row r="45" spans="1:22" x14ac:dyDescent="0.2">
      <c r="B45" s="24">
        <f>B43/(B43+B44)</f>
        <v>0.3783783783783784</v>
      </c>
      <c r="C45" t="s">
        <v>40</v>
      </c>
      <c r="D45" s="1"/>
      <c r="E45" s="1"/>
      <c r="H45" s="2" t="s">
        <v>42</v>
      </c>
      <c r="I45" s="9">
        <f>AVERAGE(I3:I39)</f>
        <v>14.027027027027026</v>
      </c>
    </row>
    <row r="46" spans="1:22" x14ac:dyDescent="0.2">
      <c r="B46" s="24">
        <f>B44/(B43+B44)</f>
        <v>0.6216216216216216</v>
      </c>
      <c r="C46" t="s">
        <v>41</v>
      </c>
      <c r="D46" s="1"/>
      <c r="E46" s="1"/>
    </row>
    <row r="47" spans="1:22" x14ac:dyDescent="0.2">
      <c r="D47" s="1"/>
      <c r="E47" s="1"/>
    </row>
    <row r="48" spans="1:22" x14ac:dyDescent="0.2">
      <c r="D48" s="1"/>
      <c r="E48" s="1"/>
    </row>
    <row r="49" spans="4:5" x14ac:dyDescent="0.2">
      <c r="D49" s="1"/>
      <c r="E49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</sheetData>
  <sortState xmlns:xlrd2="http://schemas.microsoft.com/office/spreadsheetml/2017/richdata2" ref="A3:AI39">
    <sortCondition ref="D3:D39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Jaminet</dc:creator>
  <cp:lastModifiedBy>Microsoft Office User</cp:lastModifiedBy>
  <dcterms:created xsi:type="dcterms:W3CDTF">2023-11-29T13:58:14Z</dcterms:created>
  <dcterms:modified xsi:type="dcterms:W3CDTF">2026-03-13T09:05:40Z</dcterms:modified>
</cp:coreProperties>
</file>